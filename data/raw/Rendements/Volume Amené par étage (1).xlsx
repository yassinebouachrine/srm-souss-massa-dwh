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srmsom-my.sharepoint.com/personal/m_majid_srm-sm_ma/Documents/Documents/"/>
    </mc:Choice>
  </mc:AlternateContent>
  <xr:revisionPtr revIDLastSave="0" documentId="8_{9B103444-1269-4385-9D44-A4B48094F2D2}" xr6:coauthVersionLast="47" xr6:coauthVersionMax="47" xr10:uidLastSave="{00000000-0000-0000-0000-000000000000}"/>
  <bookViews>
    <workbookView xWindow="-120" yWindow="-120" windowWidth="29040" windowHeight="15720" xr2:uid="{4A66B2CB-F54D-4B83-B88C-815A4B80E949}"/>
  </bookViews>
  <sheets>
    <sheet name="Vol_Amene_Eat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3" i="1" l="1"/>
  <c r="BC11" i="1"/>
  <c r="BC8" i="1"/>
  <c r="BB13" i="1" l="1"/>
  <c r="BA13" i="1" l="1"/>
  <c r="AY13" i="1" l="1"/>
  <c r="AY4" i="1"/>
  <c r="AY3" i="1"/>
  <c r="AX13" i="1"/>
  <c r="AW8" i="1"/>
  <c r="AW4" i="1"/>
  <c r="E3" i="1" l="1"/>
  <c r="E4" i="1"/>
  <c r="E5" i="1"/>
  <c r="E8" i="1"/>
  <c r="E11" i="1"/>
  <c r="E13" i="1"/>
  <c r="AM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T13" i="1"/>
  <c r="S13" i="1"/>
  <c r="R13" i="1"/>
  <c r="Q13" i="1"/>
  <c r="P13" i="1"/>
  <c r="O13" i="1"/>
  <c r="N13" i="1"/>
  <c r="M13" i="1"/>
  <c r="L13" i="1"/>
  <c r="K13" i="1"/>
  <c r="I13" i="1"/>
  <c r="H13" i="1"/>
  <c r="G13" i="1"/>
  <c r="B12" i="1"/>
  <c r="AM11" i="1"/>
  <c r="AE11" i="1"/>
  <c r="AC11" i="1"/>
  <c r="AB11" i="1"/>
  <c r="W11" i="1"/>
  <c r="V11" i="1"/>
  <c r="T11" i="1"/>
  <c r="S11" i="1"/>
  <c r="R11" i="1"/>
  <c r="Q11" i="1"/>
  <c r="P11" i="1"/>
  <c r="O11" i="1"/>
  <c r="N11" i="1"/>
  <c r="M11" i="1"/>
  <c r="L11" i="1"/>
  <c r="K11" i="1"/>
  <c r="J11" i="1"/>
  <c r="H11" i="1"/>
  <c r="G11" i="1"/>
  <c r="B11" i="1"/>
  <c r="X8" i="1"/>
  <c r="W8" i="1"/>
  <c r="T8" i="1"/>
  <c r="S8" i="1"/>
  <c r="Q8" i="1"/>
  <c r="P8" i="1"/>
  <c r="O8" i="1"/>
  <c r="N8" i="1"/>
  <c r="M8" i="1"/>
  <c r="L8" i="1"/>
  <c r="I8" i="1"/>
  <c r="H8" i="1"/>
  <c r="R6" i="1"/>
  <c r="Y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AJ4" i="1"/>
  <c r="AE4" i="1"/>
  <c r="T4" i="1"/>
  <c r="S4" i="1"/>
  <c r="R4" i="1"/>
  <c r="Q4" i="1"/>
  <c r="P4" i="1"/>
  <c r="O4" i="1"/>
  <c r="L4" i="1"/>
  <c r="K4" i="1"/>
  <c r="J4" i="1"/>
  <c r="I4" i="1"/>
  <c r="H4" i="1"/>
  <c r="G4" i="1"/>
  <c r="AM3" i="1"/>
  <c r="AG3" i="1"/>
  <c r="AF3" i="1"/>
  <c r="AE3" i="1"/>
  <c r="T3" i="1"/>
  <c r="R3" i="1"/>
  <c r="Q3" i="1"/>
  <c r="O3" i="1"/>
  <c r="L3" i="1"/>
  <c r="K3" i="1"/>
  <c r="J3" i="1"/>
  <c r="I3" i="1"/>
  <c r="H3" i="1"/>
  <c r="G3" i="1"/>
  <c r="B3" i="1"/>
</calcChain>
</file>

<file path=xl/sharedStrings.xml><?xml version="1.0" encoding="utf-8"?>
<sst xmlns="http://schemas.openxmlformats.org/spreadsheetml/2006/main" count="94" uniqueCount="44">
  <si>
    <t>Mois 06/2021</t>
  </si>
  <si>
    <t>NOM_ETAGE</t>
  </si>
  <si>
    <t xml:space="preserve">Nbre Clients </t>
  </si>
  <si>
    <t>Volumes Facturés</t>
  </si>
  <si>
    <t>Vol Amené</t>
  </si>
  <si>
    <t>Vol Facturé</t>
  </si>
  <si>
    <t>TASSILA 75</t>
  </si>
  <si>
    <t>1 320 230</t>
  </si>
  <si>
    <t>1 701 180</t>
  </si>
  <si>
    <t>TASSILA 104</t>
  </si>
  <si>
    <t>503 140</t>
  </si>
  <si>
    <t>718 195</t>
  </si>
  <si>
    <t>BOUARGANE 130</t>
  </si>
  <si>
    <t>663 171</t>
  </si>
  <si>
    <t>666 220</t>
  </si>
  <si>
    <t>BOUARGANE 85</t>
  </si>
  <si>
    <t>247 460</t>
  </si>
  <si>
    <t>298 160</t>
  </si>
  <si>
    <t>MASSIRA 75</t>
  </si>
  <si>
    <t>277 800</t>
  </si>
  <si>
    <t>326 070</t>
  </si>
  <si>
    <t>HAY MOHAMMADI 210</t>
  </si>
  <si>
    <t>98 570</t>
  </si>
  <si>
    <t>129 150</t>
  </si>
  <si>
    <t>ILLIGH 175</t>
  </si>
  <si>
    <t>88 030</t>
  </si>
  <si>
    <t>114 860</t>
  </si>
  <si>
    <t>TADDART 245</t>
  </si>
  <si>
    <t>126 656</t>
  </si>
  <si>
    <t>ANZA 70+ ANZA 101</t>
  </si>
  <si>
    <t>96 750</t>
  </si>
  <si>
    <t>125 180</t>
  </si>
  <si>
    <t>TAGADIRT 129</t>
  </si>
  <si>
    <t>57 200</t>
  </si>
  <si>
    <t>81 090</t>
  </si>
  <si>
    <t xml:space="preserve">Aourir + Tamraght </t>
  </si>
  <si>
    <t>147 540</t>
  </si>
  <si>
    <t>230 773</t>
  </si>
  <si>
    <t>IGHIL OUDERDOUR</t>
  </si>
  <si>
    <t>AIT EL MOUDEN</t>
  </si>
  <si>
    <t>ANZA 101</t>
  </si>
  <si>
    <t>ANZA 70</t>
  </si>
  <si>
    <t>AOURIR TAMA OUANZA COTE 130</t>
  </si>
  <si>
    <t>TAMRAGHT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</si>
</sst>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??\ _€_-;_-@"/>
    <numFmt numFmtId="165" formatCode="#,##0_ ;\-#,##0\ "/>
  </numFmts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8"/>
      <color rgb="FF000000"/>
      <name val="Calibri"/>
      <family val="2"/>
    </font>
    <font>
      <sz val="15"/>
      <color theme="1"/>
      <name val="Calibri"/>
      <family val="2"/>
    </font>
    <font>
      <sz val="18"/>
      <color rgb="FFFF0000"/>
      <name val="Calibri"/>
      <family val="2"/>
    </font>
    <font>
      <sz val="18"/>
      <color rgb="FF2E75B5"/>
      <name val="Calibri"/>
      <family val="2"/>
    </font>
    <font>
      <sz val="18"/>
      <color rgb="FF262626"/>
      <name val="Calibri"/>
      <family val="2"/>
    </font>
    <font>
      <b/>
      <sz val="18"/>
      <color theme="1"/>
      <name val="Calibri"/>
      <family val="2"/>
    </font>
    <font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3300"/>
        <bgColor rgb="FFFF33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64" fontId="10" fillId="0" borderId="1" xfId="0" applyNumberFormat="1" applyFont="1" applyBorder="1"/>
    <xf numFmtId="165" fontId="7" fillId="2" borderId="1" xfId="0" applyNumberFormat="1" applyFont="1" applyFill="1" applyBorder="1"/>
    <xf numFmtId="165" fontId="4" fillId="0" borderId="1" xfId="0" applyNumberFormat="1" applyFont="1" applyBorder="1"/>
    <xf numFmtId="165" fontId="7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4" fontId="4" fillId="0" borderId="1" xfId="0" applyNumberFormat="1" applyFont="1" applyBorder="1"/>
    <xf numFmtId="165" fontId="2" fillId="2" borderId="1" xfId="0" applyNumberFormat="1" applyFont="1" applyFill="1" applyBorder="1"/>
    <xf numFmtId="164" fontId="7" fillId="2" borderId="1" xfId="0" applyNumberFormat="1" applyFont="1" applyFill="1" applyBorder="1"/>
    <xf numFmtId="0" fontId="2" fillId="0" borderId="2" xfId="0" applyFont="1" applyBorder="1"/>
    <xf numFmtId="0" fontId="2" fillId="0" borderId="3" xfId="0" applyFont="1" applyBorder="1"/>
    <xf numFmtId="17" fontId="3" fillId="0" borderId="4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11" fillId="7" borderId="1" xfId="0" applyFont="1" applyFill="1" applyBorder="1" applyAlignment="1">
      <alignment horizontal="right" wrapText="1"/>
    </xf>
    <xf numFmtId="0" fontId="12" fillId="7" borderId="1" xfId="0" applyFont="1" applyFill="1" applyBorder="1" applyAlignment="1">
      <alignment horizontal="center" wrapText="1"/>
    </xf>
    <xf numFmtId="165" fontId="5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5" fillId="5" borderId="1" xfId="0" applyFont="1" applyFill="1" applyBorder="1"/>
    <xf numFmtId="164" fontId="5" fillId="5" borderId="1" xfId="0" applyNumberFormat="1" applyFont="1" applyFill="1" applyBorder="1"/>
    <xf numFmtId="0" fontId="12" fillId="8" borderId="1" xfId="0" applyFont="1" applyFill="1" applyBorder="1" applyAlignment="1">
      <alignment horizontal="right" wrapText="1"/>
    </xf>
    <xf numFmtId="165" fontId="5" fillId="5" borderId="1" xfId="0" applyNumberFormat="1" applyFont="1" applyFill="1" applyBorder="1"/>
    <xf numFmtId="0" fontId="12" fillId="8" borderId="1" xfId="0" applyFont="1" applyFill="1" applyBorder="1" applyAlignment="1">
      <alignment horizontal="center" wrapText="1"/>
    </xf>
    <xf numFmtId="165" fontId="5" fillId="5" borderId="1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12" fillId="7" borderId="1" xfId="0" applyFont="1" applyFill="1" applyBorder="1" applyAlignment="1">
      <alignment horizontal="right" wrapText="1"/>
    </xf>
    <xf numFmtId="164" fontId="2" fillId="2" borderId="1" xfId="0" applyNumberFormat="1" applyFont="1" applyFill="1" applyBorder="1"/>
    <xf numFmtId="165" fontId="2" fillId="6" borderId="1" xfId="0" applyNumberFormat="1" applyFont="1" applyFill="1" applyBorder="1"/>
    <xf numFmtId="3" fontId="2" fillId="4" borderId="1" xfId="0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164" fontId="7" fillId="0" borderId="1" xfId="0" applyNumberFormat="1" applyFont="1" applyBorder="1"/>
    <xf numFmtId="165" fontId="9" fillId="2" borderId="1" xfId="0" applyNumberFormat="1" applyFont="1" applyFill="1" applyBorder="1"/>
    <xf numFmtId="0" fontId="1" fillId="7" borderId="1" xfId="0" applyFont="1" applyFill="1" applyBorder="1" applyAlignment="1">
      <alignment wrapText="1"/>
    </xf>
    <xf numFmtId="0" fontId="11" fillId="7" borderId="1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2" fillId="0" borderId="8" xfId="0" applyFont="1" applyBorder="1"/>
    <xf numFmtId="165" fontId="2" fillId="2" borderId="9" xfId="0" applyNumberFormat="1" applyFont="1" applyFill="1" applyBorder="1" applyAlignment="1">
      <alignment horizontal="center"/>
    </xf>
    <xf numFmtId="0" fontId="5" fillId="5" borderId="8" xfId="0" applyFont="1" applyFill="1" applyBorder="1"/>
    <xf numFmtId="3" fontId="5" fillId="5" borderId="9" xfId="0" applyNumberFormat="1" applyFont="1" applyFill="1" applyBorder="1" applyAlignment="1">
      <alignment horizontal="center"/>
    </xf>
    <xf numFmtId="0" fontId="2" fillId="3" borderId="8" xfId="0" applyFont="1" applyFill="1" applyBorder="1"/>
    <xf numFmtId="0" fontId="2" fillId="2" borderId="8" xfId="0" applyFont="1" applyFill="1" applyBorder="1"/>
    <xf numFmtId="165" fontId="2" fillId="4" borderId="9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165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 applyAlignment="1"/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5BE5-8977-48D4-8CF4-5B14AEC16143}">
  <sheetPr>
    <pageSetUpPr fitToPage="1"/>
  </sheetPr>
  <dimension ref="A1:BF961"/>
  <sheetViews>
    <sheetView tabSelected="1" zoomScale="80" zoomScaleNormal="80" workbookViewId="0">
      <pane xSplit="1" topLeftCell="AV1" activePane="topRight" state="frozen"/>
      <selection pane="topRight" activeCell="AC14" sqref="AC14"/>
    </sheetView>
  </sheetViews>
  <sheetFormatPr defaultColWidth="14.42578125" defaultRowHeight="15" customHeight="1"/>
  <cols>
    <col min="1" max="1" width="52.140625" customWidth="1"/>
    <col min="2" max="2" width="22.28515625" hidden="1" customWidth="1"/>
    <col min="3" max="4" width="10.42578125" hidden="1" customWidth="1"/>
    <col min="5" max="5" width="20.28515625" bestFit="1" customWidth="1"/>
    <col min="6" max="6" width="19.7109375" customWidth="1"/>
    <col min="7" max="7" width="20.28515625" bestFit="1" customWidth="1"/>
    <col min="8" max="8" width="20.5703125" customWidth="1"/>
    <col min="9" max="9" width="23" customWidth="1"/>
    <col min="10" max="10" width="24.140625" customWidth="1"/>
    <col min="11" max="11" width="20" customWidth="1"/>
    <col min="12" max="12" width="24.140625" customWidth="1"/>
    <col min="13" max="13" width="20.42578125" customWidth="1"/>
    <col min="14" max="14" width="20.85546875" customWidth="1"/>
    <col min="15" max="15" width="21" customWidth="1"/>
    <col min="16" max="16" width="22.42578125" customWidth="1"/>
    <col min="17" max="17" width="20.5703125" customWidth="1"/>
    <col min="18" max="18" width="19.5703125" customWidth="1"/>
    <col min="19" max="20" width="19.28515625" customWidth="1"/>
    <col min="21" max="21" width="19.85546875" customWidth="1"/>
    <col min="22" max="22" width="20.42578125" customWidth="1"/>
    <col min="23" max="23" width="22.140625" customWidth="1"/>
    <col min="24" max="24" width="19.42578125" customWidth="1"/>
    <col min="25" max="25" width="19.85546875" customWidth="1"/>
    <col min="26" max="26" width="20.7109375" customWidth="1"/>
    <col min="27" max="27" width="20.28515625" customWidth="1"/>
    <col min="28" max="28" width="19.28515625" customWidth="1"/>
    <col min="29" max="29" width="21.28515625" customWidth="1"/>
    <col min="30" max="30" width="22.42578125" customWidth="1"/>
    <col min="31" max="31" width="21.42578125" customWidth="1"/>
    <col min="32" max="32" width="19.7109375" customWidth="1"/>
    <col min="33" max="33" width="24.140625" customWidth="1"/>
    <col min="34" max="34" width="19.28515625" customWidth="1"/>
    <col min="35" max="35" width="20.42578125" customWidth="1"/>
    <col min="36" max="36" width="20.28515625" customWidth="1"/>
    <col min="37" max="37" width="19.42578125" customWidth="1"/>
    <col min="38" max="38" width="19.85546875" customWidth="1"/>
    <col min="39" max="39" width="16.5703125" bestFit="1" customWidth="1"/>
    <col min="40" max="43" width="16.5703125" customWidth="1"/>
    <col min="44" max="50" width="16.85546875" bestFit="1" customWidth="1"/>
    <col min="51" max="52" width="16.28515625" bestFit="1" customWidth="1"/>
    <col min="53" max="53" width="17" customWidth="1"/>
    <col min="54" max="54" width="19.85546875" customWidth="1"/>
    <col min="55" max="55" width="16.28515625" bestFit="1" customWidth="1"/>
    <col min="56" max="56" width="15.85546875" bestFit="1" customWidth="1"/>
  </cols>
  <sheetData>
    <row r="1" spans="1:58" ht="23.25">
      <c r="A1" s="1"/>
      <c r="B1" s="14" t="s">
        <v>0</v>
      </c>
      <c r="C1" s="15"/>
      <c r="D1" s="15"/>
      <c r="E1" s="16">
        <v>44562</v>
      </c>
      <c r="F1" s="16">
        <v>44593</v>
      </c>
      <c r="G1" s="16">
        <v>44621</v>
      </c>
      <c r="H1" s="16">
        <v>44652</v>
      </c>
      <c r="I1" s="16">
        <v>44682</v>
      </c>
      <c r="J1" s="16">
        <v>44713</v>
      </c>
      <c r="K1" s="16">
        <v>44743</v>
      </c>
      <c r="L1" s="16">
        <v>44774</v>
      </c>
      <c r="M1" s="16">
        <v>44805</v>
      </c>
      <c r="N1" s="16">
        <v>44835</v>
      </c>
      <c r="O1" s="16">
        <v>44866</v>
      </c>
      <c r="P1" s="16">
        <v>44896</v>
      </c>
      <c r="Q1" s="16">
        <v>44927</v>
      </c>
      <c r="R1" s="16">
        <v>44958</v>
      </c>
      <c r="S1" s="16">
        <v>44986</v>
      </c>
      <c r="T1" s="16">
        <v>45017</v>
      </c>
      <c r="U1" s="16">
        <v>45047</v>
      </c>
      <c r="V1" s="16">
        <v>45078</v>
      </c>
      <c r="W1" s="16">
        <v>45108</v>
      </c>
      <c r="X1" s="16">
        <v>45139</v>
      </c>
      <c r="Y1" s="16">
        <v>45170</v>
      </c>
      <c r="Z1" s="16">
        <v>45200</v>
      </c>
      <c r="AA1" s="16">
        <v>45231</v>
      </c>
      <c r="AB1" s="16">
        <v>45261</v>
      </c>
      <c r="AC1" s="16">
        <v>45292</v>
      </c>
      <c r="AD1" s="16">
        <v>45323</v>
      </c>
      <c r="AE1" s="16">
        <v>45352</v>
      </c>
      <c r="AF1" s="16">
        <v>45383</v>
      </c>
      <c r="AG1" s="16">
        <v>45413</v>
      </c>
      <c r="AH1" s="16">
        <v>45444</v>
      </c>
      <c r="AI1" s="16">
        <v>45474</v>
      </c>
      <c r="AJ1" s="16">
        <v>45505</v>
      </c>
      <c r="AK1" s="16">
        <v>45536</v>
      </c>
      <c r="AL1" s="16">
        <v>45566</v>
      </c>
      <c r="AM1" s="16">
        <v>45597</v>
      </c>
      <c r="AN1" s="16">
        <v>45627</v>
      </c>
      <c r="AO1" s="16">
        <v>45658</v>
      </c>
      <c r="AP1" s="16">
        <v>45689</v>
      </c>
      <c r="AQ1" s="16">
        <v>45717</v>
      </c>
      <c r="AR1" s="16">
        <v>45748</v>
      </c>
      <c r="AS1" s="16">
        <v>45778</v>
      </c>
      <c r="AT1" s="16">
        <v>45809</v>
      </c>
      <c r="AU1" s="16">
        <v>45839</v>
      </c>
      <c r="AV1" s="16">
        <v>45870</v>
      </c>
      <c r="AW1" s="16">
        <v>45901</v>
      </c>
      <c r="AX1" s="16">
        <v>45931</v>
      </c>
      <c r="AY1" s="16">
        <v>45962</v>
      </c>
      <c r="AZ1" s="16">
        <v>45992</v>
      </c>
      <c r="BA1" s="16">
        <v>46023</v>
      </c>
      <c r="BB1" s="16">
        <v>46054</v>
      </c>
      <c r="BC1" s="16">
        <v>46082</v>
      </c>
      <c r="BD1" s="16">
        <v>46113</v>
      </c>
    </row>
    <row r="2" spans="1:58" ht="53.25" customHeight="1">
      <c r="A2" s="41" t="s">
        <v>1</v>
      </c>
      <c r="B2" s="42" t="s">
        <v>2</v>
      </c>
      <c r="C2" s="57" t="s">
        <v>3</v>
      </c>
      <c r="D2" s="58"/>
      <c r="E2" s="42" t="s">
        <v>4</v>
      </c>
      <c r="F2" s="42" t="s">
        <v>4</v>
      </c>
      <c r="G2" s="42" t="s">
        <v>4</v>
      </c>
      <c r="H2" s="42" t="s">
        <v>4</v>
      </c>
      <c r="I2" s="42" t="s">
        <v>4</v>
      </c>
      <c r="J2" s="42" t="s">
        <v>4</v>
      </c>
      <c r="K2" s="42" t="s">
        <v>4</v>
      </c>
      <c r="L2" s="42" t="s">
        <v>4</v>
      </c>
      <c r="M2" s="42" t="s">
        <v>4</v>
      </c>
      <c r="N2" s="42" t="s">
        <v>4</v>
      </c>
      <c r="O2" s="42" t="s">
        <v>4</v>
      </c>
      <c r="P2" s="42" t="s">
        <v>4</v>
      </c>
      <c r="Q2" s="42" t="s">
        <v>4</v>
      </c>
      <c r="R2" s="42" t="s">
        <v>4</v>
      </c>
      <c r="S2" s="42" t="s">
        <v>4</v>
      </c>
      <c r="T2" s="42" t="s">
        <v>4</v>
      </c>
      <c r="U2" s="42" t="s">
        <v>5</v>
      </c>
      <c r="V2" s="42" t="s">
        <v>4</v>
      </c>
      <c r="W2" s="42" t="s">
        <v>4</v>
      </c>
      <c r="X2" s="42" t="s">
        <v>4</v>
      </c>
      <c r="Y2" s="42" t="s">
        <v>4</v>
      </c>
      <c r="Z2" s="42" t="s">
        <v>4</v>
      </c>
      <c r="AA2" s="42" t="s">
        <v>4</v>
      </c>
      <c r="AB2" s="42" t="s">
        <v>4</v>
      </c>
      <c r="AC2" s="42" t="s">
        <v>4</v>
      </c>
      <c r="AD2" s="42" t="s">
        <v>4</v>
      </c>
      <c r="AE2" s="42" t="s">
        <v>4</v>
      </c>
      <c r="AF2" s="42" t="s">
        <v>4</v>
      </c>
      <c r="AG2" s="42" t="s">
        <v>4</v>
      </c>
      <c r="AH2" s="42" t="s">
        <v>4</v>
      </c>
      <c r="AI2" s="42" t="s">
        <v>4</v>
      </c>
      <c r="AJ2" s="42" t="s">
        <v>4</v>
      </c>
      <c r="AK2" s="42" t="s">
        <v>4</v>
      </c>
      <c r="AL2" s="42" t="s">
        <v>4</v>
      </c>
      <c r="AM2" s="42" t="s">
        <v>4</v>
      </c>
      <c r="AN2" s="42" t="s">
        <v>4</v>
      </c>
      <c r="AO2" s="42" t="s">
        <v>4</v>
      </c>
      <c r="AP2" s="42" t="s">
        <v>4</v>
      </c>
      <c r="AQ2" s="42" t="s">
        <v>4</v>
      </c>
      <c r="AR2" s="42" t="s">
        <v>4</v>
      </c>
      <c r="AS2" s="43" t="s">
        <v>4</v>
      </c>
      <c r="AT2" s="42" t="s">
        <v>4</v>
      </c>
      <c r="AU2" s="42" t="s">
        <v>4</v>
      </c>
      <c r="AV2" s="42" t="s">
        <v>4</v>
      </c>
      <c r="AW2" s="42" t="s">
        <v>4</v>
      </c>
      <c r="AX2" s="42" t="s">
        <v>4</v>
      </c>
      <c r="AY2" s="44" t="s">
        <v>4</v>
      </c>
      <c r="AZ2" s="44" t="s">
        <v>4</v>
      </c>
      <c r="BA2" s="45" t="s">
        <v>4</v>
      </c>
      <c r="BB2" s="45" t="s">
        <v>4</v>
      </c>
      <c r="BC2" s="45" t="s">
        <v>4</v>
      </c>
      <c r="BD2" s="45" t="s">
        <v>4</v>
      </c>
    </row>
    <row r="3" spans="1:58" ht="23.25">
      <c r="A3" s="46" t="s">
        <v>6</v>
      </c>
      <c r="B3" s="17">
        <f>107867+354</f>
        <v>108221</v>
      </c>
      <c r="C3" s="56">
        <v>1095841</v>
      </c>
      <c r="D3" s="59"/>
      <c r="E3" s="17">
        <f>351050+60570+1021710-4500</f>
        <v>1428830</v>
      </c>
      <c r="F3" s="19" t="s">
        <v>7</v>
      </c>
      <c r="G3" s="13">
        <f>366560+93130+1020420-20840</f>
        <v>1459270</v>
      </c>
      <c r="H3" s="13">
        <f>370400+56970+1136530-24610</f>
        <v>1539290</v>
      </c>
      <c r="I3" s="13">
        <f>355940+21690+1177970-9340</f>
        <v>1546260</v>
      </c>
      <c r="J3" s="5">
        <f>347600+49870+1175100-8830</f>
        <v>1563740</v>
      </c>
      <c r="K3" s="5">
        <f>350810+22490+1258140-8400</f>
        <v>1623040</v>
      </c>
      <c r="L3" s="5">
        <f>346050+5090+1296740-26420</f>
        <v>1621460</v>
      </c>
      <c r="M3" s="5">
        <v>1586000</v>
      </c>
      <c r="N3" s="5">
        <v>1642960</v>
      </c>
      <c r="O3" s="5">
        <f>367490+24640+1145870</f>
        <v>1538000</v>
      </c>
      <c r="P3" s="5">
        <v>1524690</v>
      </c>
      <c r="Q3" s="12">
        <f>1529650-1400</f>
        <v>1528250</v>
      </c>
      <c r="R3" s="12">
        <f>1401530-1700</f>
        <v>1399830</v>
      </c>
      <c r="S3" s="12">
        <v>1664630</v>
      </c>
      <c r="T3" s="12">
        <f>510390+7660+1165490</f>
        <v>1683540</v>
      </c>
      <c r="U3" s="20" t="s">
        <v>8</v>
      </c>
      <c r="V3" s="8">
        <v>1730150</v>
      </c>
      <c r="W3" s="8">
        <v>1704470</v>
      </c>
      <c r="X3" s="8">
        <v>1800230</v>
      </c>
      <c r="Y3" s="8">
        <v>1707180</v>
      </c>
      <c r="Z3" s="8">
        <v>1769280</v>
      </c>
      <c r="AA3" s="8">
        <v>1667430</v>
      </c>
      <c r="AB3" s="8">
        <v>1714070</v>
      </c>
      <c r="AC3" s="8">
        <v>1654750</v>
      </c>
      <c r="AD3" s="8">
        <v>1561465</v>
      </c>
      <c r="AE3" s="8">
        <f>1116068+645349</f>
        <v>1761417</v>
      </c>
      <c r="AF3" s="8">
        <f>1092845+635604</f>
        <v>1728449</v>
      </c>
      <c r="AG3" s="8">
        <f>1115237+675632</f>
        <v>1790869</v>
      </c>
      <c r="AH3" s="8">
        <v>1812752</v>
      </c>
      <c r="AI3" s="8">
        <v>1896874</v>
      </c>
      <c r="AJ3" s="8">
        <v>1889017</v>
      </c>
      <c r="AK3" s="8">
        <v>1753501</v>
      </c>
      <c r="AL3" s="8">
        <v>1673647</v>
      </c>
      <c r="AM3" s="8">
        <f>736669+928579</f>
        <v>1665248</v>
      </c>
      <c r="AN3" s="8">
        <v>1663468</v>
      </c>
      <c r="AO3" s="8">
        <v>1666314</v>
      </c>
      <c r="AP3" s="8">
        <v>1521533</v>
      </c>
      <c r="AQ3" s="8">
        <v>1813208</v>
      </c>
      <c r="AR3" s="21">
        <v>1655064</v>
      </c>
      <c r="AS3" s="8">
        <v>1820495</v>
      </c>
      <c r="AT3" s="22">
        <v>1827685</v>
      </c>
      <c r="AU3" s="8">
        <v>1943948</v>
      </c>
      <c r="AV3" s="8">
        <v>1998524</v>
      </c>
      <c r="AW3" s="8">
        <v>1888405</v>
      </c>
      <c r="AX3" s="8">
        <v>1881433</v>
      </c>
      <c r="AY3" s="8">
        <f>1088461+695089</f>
        <v>1783550</v>
      </c>
      <c r="AZ3" s="8">
        <v>1790701</v>
      </c>
      <c r="BA3" s="47">
        <v>1775652</v>
      </c>
      <c r="BB3" s="47">
        <v>1686864</v>
      </c>
      <c r="BC3" s="47">
        <v>1860896</v>
      </c>
      <c r="BD3" s="47">
        <v>1859590</v>
      </c>
    </row>
    <row r="4" spans="1:58" ht="23.25">
      <c r="A4" s="48" t="s">
        <v>9</v>
      </c>
      <c r="B4" s="23"/>
      <c r="C4" s="23"/>
      <c r="D4" s="23"/>
      <c r="E4" s="24">
        <f>280150+236570-63160</f>
        <v>453560</v>
      </c>
      <c r="F4" s="25" t="s">
        <v>10</v>
      </c>
      <c r="G4" s="24">
        <f>375410+304150-59540-82820</f>
        <v>537200</v>
      </c>
      <c r="H4" s="24">
        <f>400020+295630-59120-50430</f>
        <v>586100</v>
      </c>
      <c r="I4" s="24">
        <f>349980+303270+71490-66480-39940</f>
        <v>618320</v>
      </c>
      <c r="J4" s="26">
        <f>327020+336050+147240-66480-39940</f>
        <v>703890</v>
      </c>
      <c r="K4" s="26">
        <f>315010+310900+117100-62700</f>
        <v>680310</v>
      </c>
      <c r="L4" s="26">
        <f>388830+368730+122720-65320-88610</f>
        <v>726350</v>
      </c>
      <c r="M4" s="26">
        <v>650760</v>
      </c>
      <c r="N4" s="26">
        <v>653690</v>
      </c>
      <c r="O4" s="26">
        <f>440850+408340+131940-68580-281580</f>
        <v>630970</v>
      </c>
      <c r="P4" s="26">
        <f>375560+380730+155370-71060-226570</f>
        <v>614030</v>
      </c>
      <c r="Q4" s="26">
        <f>403970+406210+161250-71190-278710</f>
        <v>621530</v>
      </c>
      <c r="R4" s="26">
        <f>871140-65010-233840</f>
        <v>572290</v>
      </c>
      <c r="S4" s="26">
        <f>417550+417190+147720-75280-229380</f>
        <v>677800</v>
      </c>
      <c r="T4" s="26">
        <f>388385+410270+144730-148880-222720</f>
        <v>571785</v>
      </c>
      <c r="U4" s="27" t="s">
        <v>11</v>
      </c>
      <c r="V4" s="28">
        <v>723460</v>
      </c>
      <c r="W4" s="28">
        <v>777380</v>
      </c>
      <c r="X4" s="28">
        <v>855420</v>
      </c>
      <c r="Y4" s="28">
        <v>732300</v>
      </c>
      <c r="Z4" s="28">
        <v>761045</v>
      </c>
      <c r="AA4" s="28">
        <v>715535</v>
      </c>
      <c r="AB4" s="28">
        <v>689100</v>
      </c>
      <c r="AC4" s="28">
        <v>714725</v>
      </c>
      <c r="AD4" s="28">
        <v>657090</v>
      </c>
      <c r="AE4" s="28">
        <f>902170-99680-106390</f>
        <v>696100</v>
      </c>
      <c r="AF4" s="28">
        <v>663980</v>
      </c>
      <c r="AG4" s="28">
        <v>778020</v>
      </c>
      <c r="AH4" s="28">
        <v>692810</v>
      </c>
      <c r="AI4" s="28">
        <v>792450</v>
      </c>
      <c r="AJ4" s="28">
        <f>1111090-146393-104970</f>
        <v>859727</v>
      </c>
      <c r="AK4" s="28">
        <v>751047</v>
      </c>
      <c r="AL4" s="28">
        <v>743586</v>
      </c>
      <c r="AM4" s="28">
        <v>707329</v>
      </c>
      <c r="AN4" s="28">
        <v>700263</v>
      </c>
      <c r="AO4" s="28">
        <v>705895</v>
      </c>
      <c r="AP4" s="28">
        <v>629410</v>
      </c>
      <c r="AQ4" s="28">
        <v>662765</v>
      </c>
      <c r="AR4" s="28">
        <v>699373</v>
      </c>
      <c r="AS4" s="28">
        <v>757984</v>
      </c>
      <c r="AT4" s="28">
        <v>755501</v>
      </c>
      <c r="AU4" s="28">
        <v>851519</v>
      </c>
      <c r="AV4" s="28">
        <v>899576</v>
      </c>
      <c r="AW4" s="28">
        <f>1031150-152-63140</f>
        <v>967858</v>
      </c>
      <c r="AX4" s="29">
        <v>800859</v>
      </c>
      <c r="AY4" s="29">
        <f>961990-68740-135351</f>
        <v>757899</v>
      </c>
      <c r="AZ4" s="29">
        <v>765383</v>
      </c>
      <c r="BA4" s="49">
        <v>781396</v>
      </c>
      <c r="BB4" s="49">
        <v>741278</v>
      </c>
      <c r="BC4" s="49">
        <v>807361</v>
      </c>
      <c r="BD4" s="49">
        <v>812226</v>
      </c>
    </row>
    <row r="5" spans="1:58" ht="23.25">
      <c r="A5" s="50" t="s">
        <v>12</v>
      </c>
      <c r="B5" s="30"/>
      <c r="C5" s="30"/>
      <c r="D5" s="30"/>
      <c r="E5" s="17">
        <f>397400+467950-56040-15600</f>
        <v>793710</v>
      </c>
      <c r="F5" s="31" t="s">
        <v>13</v>
      </c>
      <c r="G5" s="32">
        <f>355560+403660-4120-67150</f>
        <v>687950</v>
      </c>
      <c r="H5" s="32">
        <f>345200+385250-29380-590-1755-19440</f>
        <v>679285</v>
      </c>
      <c r="I5" s="32">
        <f>326700+411480-2180-3825</f>
        <v>732175</v>
      </c>
      <c r="J5" s="12">
        <f>359850+412090-3620</f>
        <v>768320</v>
      </c>
      <c r="K5" s="12">
        <f>377580+401280-65380-1550</f>
        <v>711930</v>
      </c>
      <c r="L5" s="33">
        <f>357280+428780-3900</f>
        <v>782160</v>
      </c>
      <c r="M5" s="12">
        <f>277950+414030-8385</f>
        <v>683595</v>
      </c>
      <c r="N5" s="12">
        <f>319190+421760-5520</f>
        <v>735430</v>
      </c>
      <c r="O5" s="12">
        <f>295710+381490-1873</f>
        <v>675327</v>
      </c>
      <c r="P5" s="12">
        <f>304850+349270</f>
        <v>654120</v>
      </c>
      <c r="Q5" s="12">
        <f>322340+359140-2665</f>
        <v>678815</v>
      </c>
      <c r="R5" s="12">
        <f>598030-5488</f>
        <v>592542</v>
      </c>
      <c r="S5" s="12">
        <f>230752+336980</f>
        <v>567732</v>
      </c>
      <c r="T5" s="12">
        <f>292280+360140</f>
        <v>652420</v>
      </c>
      <c r="U5" s="20" t="s">
        <v>14</v>
      </c>
      <c r="V5" s="8">
        <v>698400</v>
      </c>
      <c r="W5" s="8">
        <v>727180</v>
      </c>
      <c r="X5" s="8">
        <v>771140</v>
      </c>
      <c r="Y5" s="8">
        <f>688610</f>
        <v>688610</v>
      </c>
      <c r="Z5" s="8">
        <v>721530</v>
      </c>
      <c r="AA5" s="8">
        <v>680400</v>
      </c>
      <c r="AB5" s="8">
        <v>733530</v>
      </c>
      <c r="AC5" s="8">
        <v>730200</v>
      </c>
      <c r="AD5" s="8">
        <v>640040</v>
      </c>
      <c r="AE5" s="8">
        <v>701900</v>
      </c>
      <c r="AF5" s="8">
        <v>663080</v>
      </c>
      <c r="AG5" s="8">
        <v>722790</v>
      </c>
      <c r="AH5" s="8">
        <v>696395</v>
      </c>
      <c r="AI5" s="8">
        <v>745330</v>
      </c>
      <c r="AJ5" s="8">
        <v>763120</v>
      </c>
      <c r="AK5" s="7">
        <v>603838</v>
      </c>
      <c r="AL5" s="7">
        <v>681148</v>
      </c>
      <c r="AM5" s="8">
        <v>683166</v>
      </c>
      <c r="AN5" s="8">
        <v>672165</v>
      </c>
      <c r="AO5" s="8">
        <v>662712</v>
      </c>
      <c r="AP5" s="8">
        <v>652578</v>
      </c>
      <c r="AQ5" s="8">
        <v>853145</v>
      </c>
      <c r="AR5" s="21">
        <v>672165</v>
      </c>
      <c r="AS5" s="8">
        <v>752481</v>
      </c>
      <c r="AT5" s="8">
        <v>726503</v>
      </c>
      <c r="AU5" s="10">
        <v>872010</v>
      </c>
      <c r="AV5" s="8">
        <v>850628</v>
      </c>
      <c r="AW5" s="8">
        <v>750264</v>
      </c>
      <c r="AX5" s="34">
        <v>725249</v>
      </c>
      <c r="AY5" s="8">
        <v>725249</v>
      </c>
      <c r="AZ5" s="8">
        <v>748021</v>
      </c>
      <c r="BA5" s="47">
        <v>750240</v>
      </c>
      <c r="BB5" s="47">
        <v>708972</v>
      </c>
      <c r="BC5" s="47">
        <v>766388</v>
      </c>
      <c r="BD5" s="47">
        <v>765278</v>
      </c>
    </row>
    <row r="6" spans="1:58" ht="23.25">
      <c r="A6" s="46" t="s">
        <v>15</v>
      </c>
      <c r="B6" s="2"/>
      <c r="C6" s="2"/>
      <c r="D6" s="2"/>
      <c r="E6" s="17">
        <v>235640</v>
      </c>
      <c r="F6" s="31" t="s">
        <v>16</v>
      </c>
      <c r="G6" s="32">
        <v>244650</v>
      </c>
      <c r="H6" s="32">
        <v>246130</v>
      </c>
      <c r="I6" s="32">
        <v>312620</v>
      </c>
      <c r="J6" s="12">
        <v>334950</v>
      </c>
      <c r="K6" s="12">
        <v>344600</v>
      </c>
      <c r="L6" s="12">
        <v>371760</v>
      </c>
      <c r="M6" s="12">
        <v>309010</v>
      </c>
      <c r="N6" s="12">
        <v>320420</v>
      </c>
      <c r="O6" s="12">
        <v>292620</v>
      </c>
      <c r="P6" s="12">
        <v>264750</v>
      </c>
      <c r="Q6" s="12">
        <v>277290</v>
      </c>
      <c r="R6" s="12">
        <f>245050+50290</f>
        <v>295340</v>
      </c>
      <c r="S6" s="12">
        <v>301230</v>
      </c>
      <c r="T6" s="12">
        <v>292740</v>
      </c>
      <c r="U6" s="20" t="s">
        <v>17</v>
      </c>
      <c r="V6" s="8">
        <v>343840</v>
      </c>
      <c r="W6" s="8">
        <v>379310</v>
      </c>
      <c r="X6" s="8">
        <v>410070</v>
      </c>
      <c r="Y6" s="8">
        <v>347610</v>
      </c>
      <c r="Z6" s="8">
        <v>360230</v>
      </c>
      <c r="AA6" s="8">
        <v>351180</v>
      </c>
      <c r="AB6" s="8">
        <v>340560</v>
      </c>
      <c r="AC6" s="8">
        <v>309960</v>
      </c>
      <c r="AD6" s="8">
        <v>327780</v>
      </c>
      <c r="AE6" s="8">
        <v>340870</v>
      </c>
      <c r="AF6" s="8">
        <v>358690</v>
      </c>
      <c r="AG6" s="8">
        <v>390820</v>
      </c>
      <c r="AH6" s="8">
        <v>370110</v>
      </c>
      <c r="AI6" s="8">
        <v>412430</v>
      </c>
      <c r="AJ6" s="8">
        <v>446530</v>
      </c>
      <c r="AK6" s="8">
        <v>384170</v>
      </c>
      <c r="AL6" s="8">
        <v>380600</v>
      </c>
      <c r="AM6" s="35">
        <v>375900</v>
      </c>
      <c r="AN6" s="35">
        <v>398150</v>
      </c>
      <c r="AO6" s="35">
        <v>381280</v>
      </c>
      <c r="AP6" s="35">
        <v>351770</v>
      </c>
      <c r="AQ6" s="35">
        <v>349592</v>
      </c>
      <c r="AR6" s="21">
        <v>398150</v>
      </c>
      <c r="AS6" s="21">
        <v>394443</v>
      </c>
      <c r="AT6" s="8">
        <v>384859</v>
      </c>
      <c r="AU6" s="10">
        <v>433397</v>
      </c>
      <c r="AV6" s="8">
        <v>473711</v>
      </c>
      <c r="AW6" s="8">
        <v>425853</v>
      </c>
      <c r="AX6" s="8">
        <v>429421</v>
      </c>
      <c r="AY6" s="8">
        <v>414214</v>
      </c>
      <c r="AZ6" s="8">
        <v>420993</v>
      </c>
      <c r="BA6" s="47">
        <v>390520</v>
      </c>
      <c r="BB6" s="47">
        <v>364224</v>
      </c>
      <c r="BC6" s="47">
        <v>399486</v>
      </c>
      <c r="BD6" s="47">
        <v>430492</v>
      </c>
    </row>
    <row r="7" spans="1:58" ht="23.25">
      <c r="A7" s="51" t="s">
        <v>18</v>
      </c>
      <c r="B7" s="36"/>
      <c r="C7" s="36"/>
      <c r="D7" s="36"/>
      <c r="E7" s="17">
        <v>272150</v>
      </c>
      <c r="F7" s="31" t="s">
        <v>19</v>
      </c>
      <c r="G7" s="32">
        <v>265770</v>
      </c>
      <c r="H7" s="32">
        <v>314380</v>
      </c>
      <c r="I7" s="32">
        <v>363850</v>
      </c>
      <c r="J7" s="12">
        <v>363850</v>
      </c>
      <c r="K7" s="12">
        <v>393590</v>
      </c>
      <c r="L7" s="12">
        <v>401970</v>
      </c>
      <c r="M7" s="12">
        <v>334890</v>
      </c>
      <c r="N7" s="12">
        <v>352270</v>
      </c>
      <c r="O7" s="12">
        <v>333810</v>
      </c>
      <c r="P7" s="12">
        <v>259810</v>
      </c>
      <c r="Q7" s="12">
        <v>295969</v>
      </c>
      <c r="R7" s="12">
        <v>261041</v>
      </c>
      <c r="S7" s="12">
        <v>286300</v>
      </c>
      <c r="T7" s="12">
        <v>298660</v>
      </c>
      <c r="U7" s="20" t="s">
        <v>20</v>
      </c>
      <c r="V7" s="8">
        <v>317350</v>
      </c>
      <c r="W7" s="8">
        <v>348990</v>
      </c>
      <c r="X7" s="8">
        <v>380830</v>
      </c>
      <c r="Y7" s="8">
        <v>346850</v>
      </c>
      <c r="Z7" s="8">
        <v>365060</v>
      </c>
      <c r="AA7" s="8">
        <v>346890</v>
      </c>
      <c r="AB7" s="8">
        <v>300020</v>
      </c>
      <c r="AC7" s="8">
        <v>280700</v>
      </c>
      <c r="AD7" s="8">
        <v>268780</v>
      </c>
      <c r="AE7" s="8">
        <v>305190</v>
      </c>
      <c r="AF7" s="8">
        <v>314620</v>
      </c>
      <c r="AG7" s="8">
        <v>320060</v>
      </c>
      <c r="AH7" s="8">
        <v>302290</v>
      </c>
      <c r="AI7" s="8">
        <v>333470</v>
      </c>
      <c r="AJ7" s="8">
        <v>356490</v>
      </c>
      <c r="AK7" s="8">
        <v>310190</v>
      </c>
      <c r="AL7" s="8">
        <v>305870</v>
      </c>
      <c r="AM7" s="35">
        <v>307090</v>
      </c>
      <c r="AN7" s="35">
        <v>356270</v>
      </c>
      <c r="AO7" s="35">
        <v>373260</v>
      </c>
      <c r="AP7" s="35">
        <v>298180</v>
      </c>
      <c r="AQ7" s="35">
        <v>280043</v>
      </c>
      <c r="AR7" s="21">
        <v>356270</v>
      </c>
      <c r="AS7" s="8">
        <v>355925</v>
      </c>
      <c r="AT7" s="8">
        <v>339346</v>
      </c>
      <c r="AU7" s="10">
        <v>379794</v>
      </c>
      <c r="AV7" s="8">
        <v>435478</v>
      </c>
      <c r="AW7" s="8">
        <v>369189</v>
      </c>
      <c r="AX7" s="8">
        <v>358572</v>
      </c>
      <c r="AY7" s="8">
        <v>333705</v>
      </c>
      <c r="AZ7" s="8">
        <v>332468</v>
      </c>
      <c r="BA7" s="47">
        <v>314297</v>
      </c>
      <c r="BB7" s="47">
        <v>300009</v>
      </c>
      <c r="BC7" s="47">
        <v>329976</v>
      </c>
      <c r="BD7" s="47">
        <v>368564</v>
      </c>
    </row>
    <row r="8" spans="1:58" ht="23.25">
      <c r="A8" s="46" t="s">
        <v>21</v>
      </c>
      <c r="B8" s="2"/>
      <c r="C8" s="2"/>
      <c r="D8" s="2"/>
      <c r="E8" s="37">
        <f>105490+3690</f>
        <v>109180</v>
      </c>
      <c r="F8" s="19" t="s">
        <v>22</v>
      </c>
      <c r="G8" s="13">
        <v>101520</v>
      </c>
      <c r="H8" s="13">
        <f>104190+5430</f>
        <v>109620</v>
      </c>
      <c r="I8" s="13">
        <f>108900+8870</f>
        <v>117770</v>
      </c>
      <c r="J8" s="5">
        <v>114870</v>
      </c>
      <c r="K8" s="5">
        <v>120780</v>
      </c>
      <c r="L8" s="38">
        <f>125290+7530</f>
        <v>132820</v>
      </c>
      <c r="M8" s="38">
        <f>104240+6900</f>
        <v>111140</v>
      </c>
      <c r="N8" s="5">
        <f>109300+9300</f>
        <v>118600</v>
      </c>
      <c r="O8" s="5">
        <f>109300+6320</f>
        <v>115620</v>
      </c>
      <c r="P8" s="5">
        <f>103680+3500</f>
        <v>107180</v>
      </c>
      <c r="Q8" s="12">
        <f>105090+3590</f>
        <v>108680</v>
      </c>
      <c r="R8" s="12">
        <v>93770</v>
      </c>
      <c r="S8" s="12">
        <f>108210+6180</f>
        <v>114390</v>
      </c>
      <c r="T8" s="12">
        <f>110550+6080</f>
        <v>116630</v>
      </c>
      <c r="U8" s="20" t="s">
        <v>23</v>
      </c>
      <c r="V8" s="8">
        <v>132470</v>
      </c>
      <c r="W8" s="8">
        <f>132550+8390</f>
        <v>140940</v>
      </c>
      <c r="X8" s="8">
        <f>156800+10820</f>
        <v>167620</v>
      </c>
      <c r="Y8" s="8">
        <v>113530</v>
      </c>
      <c r="Z8" s="8">
        <v>120850</v>
      </c>
      <c r="AA8" s="8">
        <v>112420</v>
      </c>
      <c r="AB8" s="8">
        <v>106435</v>
      </c>
      <c r="AC8" s="8">
        <v>103280</v>
      </c>
      <c r="AD8" s="8">
        <v>100960</v>
      </c>
      <c r="AE8" s="8">
        <v>120630</v>
      </c>
      <c r="AF8" s="8">
        <v>118410</v>
      </c>
      <c r="AG8" s="8">
        <v>113852</v>
      </c>
      <c r="AH8" s="8">
        <v>115740</v>
      </c>
      <c r="AI8" s="8">
        <v>137200</v>
      </c>
      <c r="AJ8" s="8">
        <v>156390</v>
      </c>
      <c r="AK8" s="8">
        <v>125295</v>
      </c>
      <c r="AL8" s="8">
        <v>121265</v>
      </c>
      <c r="AM8" s="8">
        <v>112273</v>
      </c>
      <c r="AN8" s="8">
        <v>121020</v>
      </c>
      <c r="AO8" s="8">
        <v>117670</v>
      </c>
      <c r="AP8" s="8">
        <v>118330</v>
      </c>
      <c r="AQ8" s="8">
        <v>124470</v>
      </c>
      <c r="AR8" s="21">
        <v>121020</v>
      </c>
      <c r="AS8" s="8">
        <v>145850</v>
      </c>
      <c r="AT8" s="8">
        <v>135100</v>
      </c>
      <c r="AU8" s="10">
        <v>151339</v>
      </c>
      <c r="AV8" s="8">
        <v>173602</v>
      </c>
      <c r="AW8" s="8">
        <f>151256+9390</f>
        <v>160646</v>
      </c>
      <c r="AX8" s="8">
        <v>152494</v>
      </c>
      <c r="AY8" s="8">
        <v>148376</v>
      </c>
      <c r="AZ8" s="8">
        <v>148022</v>
      </c>
      <c r="BA8" s="47">
        <v>138208</v>
      </c>
      <c r="BB8" s="47">
        <v>135014</v>
      </c>
      <c r="BC8" s="47">
        <f>146609+21930</f>
        <v>168539</v>
      </c>
      <c r="BD8" s="47">
        <v>164384</v>
      </c>
      <c r="BF8" s="55"/>
    </row>
    <row r="9" spans="1:58" ht="23.25">
      <c r="A9" s="46" t="s">
        <v>24</v>
      </c>
      <c r="B9" s="2"/>
      <c r="C9" s="2"/>
      <c r="D9" s="2"/>
      <c r="E9" s="37">
        <v>94680</v>
      </c>
      <c r="F9" s="19" t="s">
        <v>25</v>
      </c>
      <c r="G9" s="13">
        <v>88755</v>
      </c>
      <c r="H9" s="13">
        <v>94401</v>
      </c>
      <c r="I9" s="13">
        <v>104023</v>
      </c>
      <c r="J9" s="5">
        <v>111817</v>
      </c>
      <c r="K9" s="5">
        <v>115387</v>
      </c>
      <c r="L9" s="5">
        <v>110726</v>
      </c>
      <c r="M9" s="12">
        <v>96700</v>
      </c>
      <c r="N9" s="12">
        <v>102121</v>
      </c>
      <c r="O9" s="12">
        <v>95000</v>
      </c>
      <c r="P9" s="12">
        <v>88075</v>
      </c>
      <c r="Q9" s="12">
        <v>94662</v>
      </c>
      <c r="R9" s="12">
        <v>89941</v>
      </c>
      <c r="S9" s="12">
        <v>105380</v>
      </c>
      <c r="T9" s="12">
        <v>104230</v>
      </c>
      <c r="U9" s="20" t="s">
        <v>26</v>
      </c>
      <c r="V9" s="8">
        <v>114280</v>
      </c>
      <c r="W9" s="8">
        <v>118520</v>
      </c>
      <c r="X9" s="8">
        <v>131570</v>
      </c>
      <c r="Y9" s="8">
        <v>114830</v>
      </c>
      <c r="Z9" s="8">
        <v>120620</v>
      </c>
      <c r="AA9" s="8">
        <v>102360</v>
      </c>
      <c r="AB9" s="8">
        <v>99768</v>
      </c>
      <c r="AC9" s="8">
        <v>107935</v>
      </c>
      <c r="AD9" s="8">
        <v>103908</v>
      </c>
      <c r="AE9" s="8">
        <v>114091</v>
      </c>
      <c r="AF9" s="8">
        <v>113190</v>
      </c>
      <c r="AG9" s="8">
        <v>115284</v>
      </c>
      <c r="AH9" s="8">
        <v>105940</v>
      </c>
      <c r="AI9" s="8">
        <v>122340</v>
      </c>
      <c r="AJ9" s="8">
        <v>132090</v>
      </c>
      <c r="AK9" s="8">
        <v>115913</v>
      </c>
      <c r="AL9" s="8">
        <v>118128</v>
      </c>
      <c r="AM9" s="8">
        <v>117405</v>
      </c>
      <c r="AN9" s="8">
        <v>119715</v>
      </c>
      <c r="AO9" s="8">
        <v>116571</v>
      </c>
      <c r="AP9" s="8">
        <v>108973</v>
      </c>
      <c r="AQ9" s="8">
        <v>110314</v>
      </c>
      <c r="AR9" s="21">
        <v>119715</v>
      </c>
      <c r="AS9" s="8">
        <v>132916</v>
      </c>
      <c r="AT9" s="8">
        <v>132235</v>
      </c>
      <c r="AU9" s="10">
        <v>147559</v>
      </c>
      <c r="AV9" s="8">
        <v>153627</v>
      </c>
      <c r="AW9" s="8">
        <v>142159</v>
      </c>
      <c r="AX9" s="8">
        <v>134722</v>
      </c>
      <c r="AY9" s="8">
        <v>123277</v>
      </c>
      <c r="AZ9" s="8">
        <v>131746</v>
      </c>
      <c r="BA9" s="47">
        <v>131200</v>
      </c>
      <c r="BB9" s="47">
        <v>132768</v>
      </c>
      <c r="BC9" s="47">
        <v>139360</v>
      </c>
      <c r="BD9" s="47">
        <v>145600</v>
      </c>
    </row>
    <row r="10" spans="1:58" ht="23.25">
      <c r="A10" s="46" t="s">
        <v>27</v>
      </c>
      <c r="B10" s="17">
        <v>11230</v>
      </c>
      <c r="C10" s="2"/>
      <c r="D10" s="2"/>
      <c r="E10" s="37">
        <v>178350</v>
      </c>
      <c r="F10" s="39"/>
      <c r="G10" s="13"/>
      <c r="H10" s="13"/>
      <c r="I10" s="13"/>
      <c r="J10" s="5">
        <v>120579</v>
      </c>
      <c r="K10" s="5">
        <v>127254</v>
      </c>
      <c r="L10" s="38">
        <v>129203</v>
      </c>
      <c r="M10" s="38">
        <v>113696</v>
      </c>
      <c r="N10" s="38">
        <v>140050</v>
      </c>
      <c r="O10" s="38">
        <v>124522</v>
      </c>
      <c r="P10" s="38">
        <v>129063</v>
      </c>
      <c r="Q10" s="12">
        <v>122245</v>
      </c>
      <c r="R10" s="12">
        <v>107120</v>
      </c>
      <c r="S10" s="12">
        <v>136128</v>
      </c>
      <c r="T10" s="12">
        <v>136448</v>
      </c>
      <c r="U10" s="20" t="s">
        <v>28</v>
      </c>
      <c r="V10" s="8">
        <v>154592</v>
      </c>
      <c r="W10" s="8">
        <v>148380</v>
      </c>
      <c r="X10" s="8">
        <v>157272</v>
      </c>
      <c r="Y10" s="8">
        <v>138679</v>
      </c>
      <c r="Z10" s="8">
        <v>145801</v>
      </c>
      <c r="AA10" s="8">
        <v>138017</v>
      </c>
      <c r="AB10" s="8">
        <v>139586</v>
      </c>
      <c r="AC10" s="8">
        <v>135679</v>
      </c>
      <c r="AD10" s="8">
        <v>134011</v>
      </c>
      <c r="AE10" s="8">
        <v>142389</v>
      </c>
      <c r="AF10" s="8">
        <v>144223</v>
      </c>
      <c r="AG10" s="8">
        <v>147187</v>
      </c>
      <c r="AH10" s="8">
        <v>145085</v>
      </c>
      <c r="AI10" s="8">
        <v>150366</v>
      </c>
      <c r="AJ10" s="8">
        <v>144830</v>
      </c>
      <c r="AK10" s="8">
        <v>137307</v>
      </c>
      <c r="AL10" s="8">
        <v>131033</v>
      </c>
      <c r="AM10" s="8">
        <v>130721</v>
      </c>
      <c r="AN10" s="8">
        <v>132380</v>
      </c>
      <c r="AO10" s="8">
        <v>124971</v>
      </c>
      <c r="AP10" s="8">
        <v>88130</v>
      </c>
      <c r="AQ10" s="8">
        <v>129668</v>
      </c>
      <c r="AR10" s="21">
        <v>128668</v>
      </c>
      <c r="AS10" s="8">
        <v>126896</v>
      </c>
      <c r="AT10" s="8">
        <v>126645</v>
      </c>
      <c r="AU10" s="10">
        <v>137125</v>
      </c>
      <c r="AV10" s="8">
        <v>152300</v>
      </c>
      <c r="AW10" s="8">
        <v>149733</v>
      </c>
      <c r="AX10" s="8">
        <v>155956</v>
      </c>
      <c r="AY10" s="8">
        <v>140987</v>
      </c>
      <c r="AZ10" s="8">
        <v>130448</v>
      </c>
      <c r="BA10" s="47">
        <v>123151</v>
      </c>
      <c r="BB10" s="47">
        <v>125004</v>
      </c>
      <c r="BC10" s="47">
        <v>141246</v>
      </c>
      <c r="BD10" s="47">
        <v>137116</v>
      </c>
    </row>
    <row r="11" spans="1:58" ht="23.25">
      <c r="A11" s="46" t="s">
        <v>29</v>
      </c>
      <c r="B11" s="17">
        <f>1559+33</f>
        <v>1592</v>
      </c>
      <c r="C11" s="56">
        <v>81425</v>
      </c>
      <c r="D11" s="59"/>
      <c r="E11" s="17">
        <f>86294+19640</f>
        <v>105934</v>
      </c>
      <c r="F11" s="31" t="s">
        <v>30</v>
      </c>
      <c r="G11" s="32">
        <f>88290+10830</f>
        <v>99120</v>
      </c>
      <c r="H11" s="32">
        <f>89940+11890</f>
        <v>101830</v>
      </c>
      <c r="I11" s="32"/>
      <c r="J11" s="12">
        <f>102380+14480</f>
        <v>116860</v>
      </c>
      <c r="K11" s="12">
        <f>70820+19715</f>
        <v>90535</v>
      </c>
      <c r="L11" s="12">
        <f>76050+17775</f>
        <v>93825</v>
      </c>
      <c r="M11" s="12">
        <f>29000+4864+77755</f>
        <v>111619</v>
      </c>
      <c r="N11" s="38">
        <f>11440+87930</f>
        <v>99370</v>
      </c>
      <c r="O11" s="38">
        <f>78316+11440</f>
        <v>89756</v>
      </c>
      <c r="P11" s="38">
        <f>73350+17490</f>
        <v>90840</v>
      </c>
      <c r="Q11" s="5">
        <f>68760+18900</f>
        <v>87660</v>
      </c>
      <c r="R11" s="5">
        <f>69050+14325</f>
        <v>83375</v>
      </c>
      <c r="S11" s="5">
        <f>94895+18985</f>
        <v>113880</v>
      </c>
      <c r="T11" s="5">
        <f>16015+74250</f>
        <v>90265</v>
      </c>
      <c r="U11" s="40" t="s">
        <v>31</v>
      </c>
      <c r="V11" s="8">
        <f>103759+19630</f>
        <v>123389</v>
      </c>
      <c r="W11" s="8">
        <f>97030+20670</f>
        <v>117700</v>
      </c>
      <c r="X11" s="8">
        <v>117270</v>
      </c>
      <c r="Y11" s="8">
        <v>111025</v>
      </c>
      <c r="Z11" s="8">
        <v>116700</v>
      </c>
      <c r="AA11" s="8">
        <v>104855</v>
      </c>
      <c r="AB11" s="8">
        <f>74700*1.03333333333333</f>
        <v>77189.999999999753</v>
      </c>
      <c r="AC11" s="8">
        <f>15320+59380</f>
        <v>74700</v>
      </c>
      <c r="AD11" s="8">
        <v>89010</v>
      </c>
      <c r="AE11" s="8">
        <f>63185+20130</f>
        <v>83315</v>
      </c>
      <c r="AF11" s="8">
        <v>82670</v>
      </c>
      <c r="AG11" s="8">
        <v>88135</v>
      </c>
      <c r="AH11" s="8">
        <v>90765</v>
      </c>
      <c r="AI11" s="8">
        <v>112645</v>
      </c>
      <c r="AJ11" s="8">
        <v>121160</v>
      </c>
      <c r="AK11" s="8">
        <v>98645</v>
      </c>
      <c r="AL11" s="8">
        <v>107480</v>
      </c>
      <c r="AM11" s="35">
        <f>21835+86235</f>
        <v>108070</v>
      </c>
      <c r="AN11" s="35">
        <v>103365</v>
      </c>
      <c r="AO11" s="35">
        <v>89936</v>
      </c>
      <c r="AP11" s="35">
        <v>92326</v>
      </c>
      <c r="AQ11" s="35">
        <v>99402</v>
      </c>
      <c r="AR11" s="21">
        <v>103365</v>
      </c>
      <c r="AS11" s="8">
        <v>109470</v>
      </c>
      <c r="AT11" s="8">
        <v>89140</v>
      </c>
      <c r="AU11" s="10">
        <v>117040</v>
      </c>
      <c r="AV11" s="10">
        <v>137099</v>
      </c>
      <c r="AW11" s="10">
        <v>128010</v>
      </c>
      <c r="AX11" s="10">
        <v>137302</v>
      </c>
      <c r="AY11" s="10">
        <v>115110</v>
      </c>
      <c r="AZ11" s="10">
        <v>123840</v>
      </c>
      <c r="BA11" s="52">
        <v>110187</v>
      </c>
      <c r="BB11" s="52">
        <v>109360</v>
      </c>
      <c r="BC11" s="52">
        <f>87399+20555</f>
        <v>107954</v>
      </c>
      <c r="BD11" s="52">
        <v>126727</v>
      </c>
    </row>
    <row r="12" spans="1:58" ht="23.25">
      <c r="A12" s="51" t="s">
        <v>32</v>
      </c>
      <c r="B12" s="17">
        <f>5509+9</f>
        <v>5518</v>
      </c>
      <c r="C12" s="18">
        <v>34775</v>
      </c>
      <c r="D12" s="18">
        <v>12890</v>
      </c>
      <c r="E12" s="17">
        <v>65070</v>
      </c>
      <c r="F12" s="31" t="s">
        <v>33</v>
      </c>
      <c r="G12" s="13">
        <v>59550</v>
      </c>
      <c r="H12" s="13">
        <v>59740</v>
      </c>
      <c r="I12" s="13">
        <v>64710</v>
      </c>
      <c r="J12" s="5">
        <v>64710</v>
      </c>
      <c r="K12" s="5">
        <v>61570</v>
      </c>
      <c r="L12" s="38">
        <v>67170</v>
      </c>
      <c r="M12" s="38">
        <v>60930</v>
      </c>
      <c r="N12" s="38">
        <v>68880</v>
      </c>
      <c r="O12" s="38">
        <v>67570</v>
      </c>
      <c r="P12" s="38">
        <v>71090</v>
      </c>
      <c r="Q12" s="5">
        <v>71090</v>
      </c>
      <c r="R12" s="5">
        <v>64060</v>
      </c>
      <c r="S12" s="5">
        <v>75280</v>
      </c>
      <c r="T12" s="5">
        <v>75670</v>
      </c>
      <c r="U12" s="40" t="s">
        <v>34</v>
      </c>
      <c r="V12" s="8">
        <v>75030</v>
      </c>
      <c r="W12" s="8">
        <v>78910</v>
      </c>
      <c r="X12" s="8">
        <v>93440</v>
      </c>
      <c r="Y12" s="8">
        <v>102860</v>
      </c>
      <c r="Z12" s="8">
        <v>108440</v>
      </c>
      <c r="AA12" s="8">
        <v>97590</v>
      </c>
      <c r="AB12" s="8">
        <v>92230</v>
      </c>
      <c r="AC12" s="8">
        <v>92230</v>
      </c>
      <c r="AD12" s="8">
        <v>94650</v>
      </c>
      <c r="AE12" s="8">
        <v>102960</v>
      </c>
      <c r="AF12" s="8">
        <v>100581</v>
      </c>
      <c r="AG12" s="8">
        <v>129163</v>
      </c>
      <c r="AH12" s="8">
        <v>126980</v>
      </c>
      <c r="AI12" s="8">
        <v>141330</v>
      </c>
      <c r="AJ12" s="8">
        <v>147790</v>
      </c>
      <c r="AK12" s="8">
        <v>128990</v>
      </c>
      <c r="AL12" s="8">
        <v>131336</v>
      </c>
      <c r="AM12" s="8">
        <v>125190</v>
      </c>
      <c r="AN12" s="8">
        <v>132380</v>
      </c>
      <c r="AO12" s="8">
        <v>109525</v>
      </c>
      <c r="AP12" s="8">
        <v>105455</v>
      </c>
      <c r="AQ12" s="8">
        <v>127653</v>
      </c>
      <c r="AR12" s="21">
        <v>132380</v>
      </c>
      <c r="AS12" s="8">
        <v>133809</v>
      </c>
      <c r="AT12" s="8">
        <v>127829</v>
      </c>
      <c r="AU12" s="10">
        <v>144783</v>
      </c>
      <c r="AV12" s="8">
        <v>150400</v>
      </c>
      <c r="AW12" s="8">
        <v>142357</v>
      </c>
      <c r="AX12" s="8">
        <v>136762</v>
      </c>
      <c r="AY12" s="8">
        <v>125948</v>
      </c>
      <c r="AZ12" s="8">
        <v>126902</v>
      </c>
      <c r="BA12" s="47">
        <v>122240</v>
      </c>
      <c r="BB12" s="47">
        <v>121856</v>
      </c>
      <c r="BC12" s="47">
        <v>139520</v>
      </c>
      <c r="BD12" s="47">
        <v>143808</v>
      </c>
    </row>
    <row r="13" spans="1:58" ht="23.25">
      <c r="A13" s="51" t="s">
        <v>35</v>
      </c>
      <c r="B13" s="17"/>
      <c r="C13" s="18"/>
      <c r="D13" s="18"/>
      <c r="E13" s="17">
        <f>68981+81670-533</f>
        <v>150118</v>
      </c>
      <c r="F13" s="31" t="s">
        <v>36</v>
      </c>
      <c r="G13" s="32">
        <f>84790+59320</f>
        <v>144110</v>
      </c>
      <c r="H13" s="32">
        <f>55793+129940</f>
        <v>185733</v>
      </c>
      <c r="I13" s="32">
        <f>70127+152970-2500</f>
        <v>220597</v>
      </c>
      <c r="J13" s="12"/>
      <c r="K13" s="12">
        <f>78477+165300</f>
        <v>243777</v>
      </c>
      <c r="L13" s="12">
        <f>85985+180100</f>
        <v>266085</v>
      </c>
      <c r="M13" s="12">
        <f>80752+143480</f>
        <v>224232</v>
      </c>
      <c r="N13" s="12">
        <f>83096+150320</f>
        <v>233416</v>
      </c>
      <c r="O13" s="12">
        <f>137520+77530</f>
        <v>215050</v>
      </c>
      <c r="P13" s="12">
        <f>93013+82520</f>
        <v>175533</v>
      </c>
      <c r="Q13" s="5">
        <f>78865+114190</f>
        <v>193055</v>
      </c>
      <c r="R13" s="5">
        <f>69103+106570</f>
        <v>175673</v>
      </c>
      <c r="S13" s="5">
        <f>76295+128390</f>
        <v>204685</v>
      </c>
      <c r="T13" s="5">
        <f>149170+67617</f>
        <v>216787</v>
      </c>
      <c r="U13" s="40" t="s">
        <v>37</v>
      </c>
      <c r="V13" s="8">
        <f>89988+145590</f>
        <v>235578</v>
      </c>
      <c r="W13" s="8">
        <f>93993+155800</f>
        <v>249793</v>
      </c>
      <c r="X13" s="8">
        <f>178520+97866</f>
        <v>276386</v>
      </c>
      <c r="Y13" s="8">
        <f>135630+101565</f>
        <v>237195</v>
      </c>
      <c r="Z13" s="8">
        <f>151720+65980</f>
        <v>217700</v>
      </c>
      <c r="AA13" s="8">
        <f>115210 +79377</f>
        <v>194587</v>
      </c>
      <c r="AB13" s="8">
        <f>85453+134529</f>
        <v>219982</v>
      </c>
      <c r="AC13" s="8">
        <f>134529+53113</f>
        <v>187642</v>
      </c>
      <c r="AD13" s="8">
        <f>139330+41903</f>
        <v>181233</v>
      </c>
      <c r="AE13" s="8">
        <f>179410+29664</f>
        <v>209074</v>
      </c>
      <c r="AF13" s="8">
        <f>178540+35887</f>
        <v>214427</v>
      </c>
      <c r="AG13" s="8">
        <f>129275+86689</f>
        <v>215964</v>
      </c>
      <c r="AH13" s="8">
        <v>214888</v>
      </c>
      <c r="AI13" s="8">
        <f>125740+103996</f>
        <v>229736</v>
      </c>
      <c r="AJ13" s="8">
        <f>143395+113499</f>
        <v>256894</v>
      </c>
      <c r="AK13" s="8">
        <f>116515+103880</f>
        <v>220395</v>
      </c>
      <c r="AL13" s="8">
        <v>229408</v>
      </c>
      <c r="AM13" s="35">
        <f>106982+120535</f>
        <v>227517</v>
      </c>
      <c r="AN13" s="35">
        <v>218914</v>
      </c>
      <c r="AO13" s="35">
        <v>212251</v>
      </c>
      <c r="AP13" s="35">
        <v>191933</v>
      </c>
      <c r="AQ13" s="35">
        <v>216948</v>
      </c>
      <c r="AR13" s="21">
        <v>218914</v>
      </c>
      <c r="AS13" s="8">
        <v>225559</v>
      </c>
      <c r="AT13" s="8">
        <v>224597</v>
      </c>
      <c r="AU13" s="10">
        <v>287403</v>
      </c>
      <c r="AV13" s="10">
        <v>290390</v>
      </c>
      <c r="AW13" s="10">
        <v>276330</v>
      </c>
      <c r="AX13" s="10">
        <f>153220+100518</f>
        <v>253738</v>
      </c>
      <c r="AY13" s="10">
        <f>132420+117433</f>
        <v>249853</v>
      </c>
      <c r="AZ13" s="10">
        <v>238218</v>
      </c>
      <c r="BA13" s="52">
        <f>111440+126557</f>
        <v>237997</v>
      </c>
      <c r="BB13" s="52">
        <f>115735+129605</f>
        <v>245340</v>
      </c>
      <c r="BC13" s="52">
        <f>127269+141785</f>
        <v>269054</v>
      </c>
      <c r="BD13" s="52">
        <v>269252</v>
      </c>
    </row>
    <row r="14" spans="1:58" ht="23.25">
      <c r="A14" s="46" t="s">
        <v>38</v>
      </c>
      <c r="B14" s="3"/>
      <c r="C14" s="3"/>
      <c r="D14" s="3"/>
      <c r="E14" s="4"/>
      <c r="F14" s="4"/>
      <c r="G14" s="3"/>
      <c r="H14" s="3"/>
      <c r="I14" s="3"/>
      <c r="J14" s="3"/>
      <c r="K14" s="5"/>
      <c r="L14" s="5"/>
      <c r="M14" s="3"/>
      <c r="N14" s="3"/>
      <c r="O14" s="3"/>
      <c r="P14" s="3"/>
      <c r="Q14" s="6"/>
      <c r="R14" s="6"/>
      <c r="S14" s="5"/>
      <c r="T14" s="5"/>
      <c r="U14" s="7"/>
      <c r="V14" s="7"/>
      <c r="W14" s="8"/>
      <c r="X14" s="7"/>
      <c r="Y14" s="7"/>
      <c r="Z14" s="7"/>
      <c r="AA14" s="10"/>
      <c r="AB14" s="10"/>
      <c r="AC14" s="10"/>
      <c r="AD14" s="10"/>
      <c r="AE14" s="10"/>
      <c r="AF14" s="10"/>
      <c r="AG14" s="10">
        <v>17350</v>
      </c>
      <c r="AH14" s="10">
        <v>12280</v>
      </c>
      <c r="AI14" s="10">
        <v>12480</v>
      </c>
      <c r="AJ14" s="10">
        <v>13100</v>
      </c>
      <c r="AK14" s="10">
        <v>12800</v>
      </c>
      <c r="AL14" s="10">
        <v>12630</v>
      </c>
      <c r="AM14" s="10">
        <v>11980</v>
      </c>
      <c r="AN14" s="10">
        <v>12139</v>
      </c>
      <c r="AO14" s="10">
        <v>12020</v>
      </c>
      <c r="AP14" s="10">
        <v>13770</v>
      </c>
      <c r="AQ14" s="10">
        <v>23540</v>
      </c>
      <c r="AR14" s="10">
        <v>29600</v>
      </c>
      <c r="AS14" s="10">
        <v>25080</v>
      </c>
      <c r="AT14" s="10">
        <v>25570</v>
      </c>
      <c r="AU14" s="10">
        <v>24600</v>
      </c>
      <c r="AV14" s="10">
        <v>25570</v>
      </c>
      <c r="AW14" s="10">
        <v>28550</v>
      </c>
      <c r="AX14" s="10">
        <v>30490</v>
      </c>
      <c r="AY14" s="10">
        <v>30090</v>
      </c>
      <c r="AZ14" s="10">
        <v>31450</v>
      </c>
      <c r="BA14" s="52">
        <v>33260</v>
      </c>
      <c r="BB14" s="52">
        <v>27820</v>
      </c>
      <c r="BC14" s="52">
        <v>32420</v>
      </c>
      <c r="BD14" s="52">
        <v>33260</v>
      </c>
    </row>
    <row r="15" spans="1:58" ht="23.25">
      <c r="A15" s="46" t="s">
        <v>39</v>
      </c>
      <c r="B15" s="3"/>
      <c r="C15" s="3"/>
      <c r="D15" s="3"/>
      <c r="E15" s="3"/>
      <c r="F15" s="3"/>
      <c r="G15" s="3"/>
      <c r="H15" s="11"/>
      <c r="I15" s="3"/>
      <c r="J15" s="3"/>
      <c r="K15" s="12"/>
      <c r="L15" s="12"/>
      <c r="M15" s="3"/>
      <c r="N15" s="3"/>
      <c r="O15" s="3"/>
      <c r="P15" s="3"/>
      <c r="Q15" s="3"/>
      <c r="R15" s="3"/>
      <c r="S15" s="5"/>
      <c r="T15" s="5"/>
      <c r="U15" s="13"/>
      <c r="V15" s="7"/>
      <c r="W15" s="7"/>
      <c r="X15" s="7"/>
      <c r="Y15" s="7"/>
      <c r="Z15" s="7"/>
      <c r="AA15" s="10"/>
      <c r="AB15" s="10"/>
      <c r="AC15" s="10"/>
      <c r="AD15" s="10"/>
      <c r="AE15" s="10"/>
      <c r="AF15" s="10"/>
      <c r="AG15" s="10">
        <v>25860</v>
      </c>
      <c r="AH15" s="10">
        <v>26010</v>
      </c>
      <c r="AI15" s="10">
        <v>26880</v>
      </c>
      <c r="AJ15" s="10">
        <v>27790</v>
      </c>
      <c r="AK15" s="10">
        <v>27710</v>
      </c>
      <c r="AL15" s="10">
        <v>28040</v>
      </c>
      <c r="AM15" s="10">
        <v>24920</v>
      </c>
      <c r="AN15" s="10">
        <v>24890</v>
      </c>
      <c r="AO15" s="10">
        <v>24620</v>
      </c>
      <c r="AP15" s="10">
        <v>20210</v>
      </c>
      <c r="AQ15" s="10">
        <v>16660</v>
      </c>
      <c r="AR15" s="10">
        <v>16870</v>
      </c>
      <c r="AS15" s="10">
        <v>20020</v>
      </c>
      <c r="AT15" s="10">
        <v>25360</v>
      </c>
      <c r="AU15" s="10">
        <v>20780</v>
      </c>
      <c r="AV15" s="10">
        <v>25237</v>
      </c>
      <c r="AW15" s="10">
        <v>25910</v>
      </c>
      <c r="AX15" s="10">
        <v>24690</v>
      </c>
      <c r="AY15" s="10">
        <v>23831</v>
      </c>
      <c r="AZ15" s="10">
        <v>19860</v>
      </c>
      <c r="BA15" s="52">
        <v>19990</v>
      </c>
      <c r="BB15" s="52">
        <v>20763</v>
      </c>
      <c r="BC15" s="52">
        <v>26610</v>
      </c>
      <c r="BD15" s="52">
        <v>25088</v>
      </c>
    </row>
    <row r="16" spans="1:58" ht="23.25">
      <c r="A16" s="46" t="s">
        <v>40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10"/>
      <c r="AB16" s="10"/>
      <c r="AC16" s="10">
        <v>17240</v>
      </c>
      <c r="AD16" s="10">
        <v>18560</v>
      </c>
      <c r="AE16" s="10">
        <v>18190</v>
      </c>
      <c r="AF16" s="10">
        <v>19270</v>
      </c>
      <c r="AG16" s="10">
        <v>20415</v>
      </c>
      <c r="AH16" s="10">
        <v>32095</v>
      </c>
      <c r="AI16" s="10">
        <v>28455</v>
      </c>
      <c r="AJ16" s="10">
        <v>28590</v>
      </c>
      <c r="AK16" s="10">
        <v>16405</v>
      </c>
      <c r="AL16" s="10">
        <v>16480</v>
      </c>
      <c r="AM16" s="10">
        <v>21835</v>
      </c>
      <c r="AN16" s="10">
        <v>10330</v>
      </c>
      <c r="AO16" s="10">
        <v>18320</v>
      </c>
      <c r="AP16" s="10">
        <v>14785</v>
      </c>
      <c r="AQ16" s="10">
        <v>16180</v>
      </c>
      <c r="AR16" s="10">
        <v>16010</v>
      </c>
      <c r="AS16" s="10">
        <v>17660</v>
      </c>
      <c r="AT16" s="10">
        <v>14795</v>
      </c>
      <c r="AU16" s="10">
        <v>21730</v>
      </c>
      <c r="AV16" s="10">
        <v>39100</v>
      </c>
      <c r="AW16" s="10">
        <v>26000</v>
      </c>
      <c r="AX16" s="10">
        <v>27630</v>
      </c>
      <c r="AY16" s="10">
        <v>24897</v>
      </c>
      <c r="AZ16" s="10">
        <v>17000</v>
      </c>
      <c r="BA16" s="52">
        <v>17110</v>
      </c>
      <c r="BB16" s="52">
        <v>15760</v>
      </c>
      <c r="BC16" s="52">
        <v>20555</v>
      </c>
      <c r="BD16" s="52">
        <v>19925</v>
      </c>
    </row>
    <row r="17" spans="1:56" ht="20.25" customHeight="1">
      <c r="A17" s="46" t="s">
        <v>41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10"/>
      <c r="AB17" s="10"/>
      <c r="AC17" s="10">
        <v>61380</v>
      </c>
      <c r="AD17" s="10">
        <v>70450</v>
      </c>
      <c r="AE17" s="10">
        <v>61140</v>
      </c>
      <c r="AF17" s="10">
        <v>63400</v>
      </c>
      <c r="AG17" s="10">
        <v>67720</v>
      </c>
      <c r="AH17" s="10">
        <v>58670</v>
      </c>
      <c r="AI17" s="10">
        <v>84190</v>
      </c>
      <c r="AJ17" s="10">
        <v>92570</v>
      </c>
      <c r="AK17" s="10">
        <v>82240</v>
      </c>
      <c r="AL17" s="10">
        <v>91000</v>
      </c>
      <c r="AM17" s="10">
        <v>88300</v>
      </c>
      <c r="AN17" s="10">
        <v>88650</v>
      </c>
      <c r="AO17" s="10">
        <v>71616</v>
      </c>
      <c r="AP17" s="10">
        <v>77541</v>
      </c>
      <c r="AQ17" s="10">
        <v>83222</v>
      </c>
      <c r="AR17" s="10">
        <v>84048</v>
      </c>
      <c r="AS17" s="10">
        <v>90974</v>
      </c>
      <c r="AT17" s="10">
        <v>74345</v>
      </c>
      <c r="AU17" s="9">
        <v>95275</v>
      </c>
      <c r="AV17" s="10">
        <v>97999</v>
      </c>
      <c r="AW17" s="10">
        <v>99424</v>
      </c>
      <c r="AX17" s="10">
        <v>109672</v>
      </c>
      <c r="AY17" s="10">
        <v>91915</v>
      </c>
      <c r="AZ17" s="10">
        <v>106601</v>
      </c>
      <c r="BA17" s="52">
        <v>93077</v>
      </c>
      <c r="BB17" s="52">
        <v>92976</v>
      </c>
      <c r="BC17" s="52">
        <v>87399</v>
      </c>
      <c r="BD17" s="52">
        <v>106802</v>
      </c>
    </row>
    <row r="18" spans="1:56" ht="23.25">
      <c r="A18" s="46" t="s">
        <v>42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>
        <v>85223</v>
      </c>
      <c r="T18" s="3">
        <v>79537</v>
      </c>
      <c r="U18" s="3">
        <v>97216</v>
      </c>
      <c r="V18" s="3">
        <v>101048</v>
      </c>
      <c r="W18" s="3">
        <v>108492</v>
      </c>
      <c r="X18" s="3">
        <v>124480</v>
      </c>
      <c r="Y18" s="3">
        <v>123966</v>
      </c>
      <c r="Z18" s="3">
        <v>86916</v>
      </c>
      <c r="AA18" s="10">
        <v>97643</v>
      </c>
      <c r="AB18" s="10">
        <v>103149</v>
      </c>
      <c r="AC18" s="10">
        <v>70872</v>
      </c>
      <c r="AD18" s="10">
        <v>57519</v>
      </c>
      <c r="AE18" s="10">
        <v>55000</v>
      </c>
      <c r="AF18" s="10">
        <v>47181</v>
      </c>
      <c r="AG18" s="10">
        <v>106758</v>
      </c>
      <c r="AH18" s="10">
        <v>111000</v>
      </c>
      <c r="AI18" s="10">
        <v>114000</v>
      </c>
      <c r="AJ18" s="10">
        <v>127108</v>
      </c>
      <c r="AK18" s="10">
        <v>114903</v>
      </c>
      <c r="AL18" s="10">
        <v>108857</v>
      </c>
      <c r="AM18" s="10">
        <v>118498</v>
      </c>
      <c r="AN18" s="10">
        <v>106275</v>
      </c>
      <c r="AO18" s="10">
        <v>105655</v>
      </c>
      <c r="AP18" s="10">
        <v>104000</v>
      </c>
      <c r="AQ18" s="10">
        <v>105000</v>
      </c>
      <c r="AR18" s="10">
        <v>110000</v>
      </c>
      <c r="AS18" s="10">
        <v>130628</v>
      </c>
      <c r="AT18" s="10">
        <v>127508</v>
      </c>
      <c r="AU18" s="9">
        <v>133042</v>
      </c>
      <c r="AV18" s="10">
        <v>133726</v>
      </c>
      <c r="AW18" s="10">
        <v>123924</v>
      </c>
      <c r="AX18" s="10">
        <v>123811</v>
      </c>
      <c r="AY18" s="10">
        <v>117433</v>
      </c>
      <c r="AZ18" s="10">
        <v>123783</v>
      </c>
      <c r="BA18" s="52">
        <v>131433</v>
      </c>
      <c r="BB18" s="52">
        <v>115735</v>
      </c>
      <c r="BC18" s="52">
        <v>127269</v>
      </c>
      <c r="BD18" s="52">
        <v>125684</v>
      </c>
    </row>
    <row r="19" spans="1:56" ht="23.25">
      <c r="A19" s="46" t="s">
        <v>43</v>
      </c>
      <c r="B19" s="3"/>
      <c r="C19" s="3"/>
      <c r="D19" s="3"/>
      <c r="E19" s="3"/>
      <c r="F19" s="3"/>
      <c r="G19" s="3"/>
      <c r="H19" s="3"/>
      <c r="I19" s="3"/>
      <c r="J19" s="5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10"/>
      <c r="AB19" s="10"/>
      <c r="AC19" s="10">
        <v>139330</v>
      </c>
      <c r="AD19" s="10">
        <v>139010</v>
      </c>
      <c r="AE19" s="10">
        <v>179410</v>
      </c>
      <c r="AF19" s="10">
        <v>178540</v>
      </c>
      <c r="AG19" s="10">
        <v>129275</v>
      </c>
      <c r="AH19" s="10">
        <v>120115</v>
      </c>
      <c r="AI19" s="10">
        <v>125740</v>
      </c>
      <c r="AJ19" s="10">
        <v>143395</v>
      </c>
      <c r="AK19" s="10">
        <v>116515</v>
      </c>
      <c r="AL19" s="10">
        <v>128890</v>
      </c>
      <c r="AM19" s="10">
        <v>120535</v>
      </c>
      <c r="AN19" s="10">
        <v>125050</v>
      </c>
      <c r="AO19" s="10">
        <v>118875</v>
      </c>
      <c r="AP19" s="10">
        <v>102095</v>
      </c>
      <c r="AQ19" s="10">
        <v>109595</v>
      </c>
      <c r="AR19" s="10">
        <v>119860</v>
      </c>
      <c r="AS19" s="10">
        <v>114210</v>
      </c>
      <c r="AT19" s="10">
        <v>129820</v>
      </c>
      <c r="AU19" s="10">
        <v>173500</v>
      </c>
      <c r="AV19" s="10">
        <v>197150</v>
      </c>
      <c r="AW19" s="10">
        <v>168280</v>
      </c>
      <c r="AX19" s="10">
        <v>154380</v>
      </c>
      <c r="AY19" s="10">
        <v>132420</v>
      </c>
      <c r="AZ19" s="10">
        <v>117215</v>
      </c>
      <c r="BA19" s="52">
        <v>111440</v>
      </c>
      <c r="BB19" s="52">
        <v>129605</v>
      </c>
      <c r="BC19" s="52">
        <v>141785</v>
      </c>
      <c r="BD19" s="52">
        <v>143568</v>
      </c>
    </row>
    <row r="20" spans="1:56" ht="15.75" customHeight="1"/>
    <row r="21" spans="1:56" ht="15.75" customHeight="1"/>
    <row r="22" spans="1:56" ht="15.75" customHeight="1"/>
    <row r="23" spans="1:56" ht="15.75" customHeight="1">
      <c r="J23" s="54"/>
    </row>
    <row r="24" spans="1:56" ht="15.75" customHeight="1">
      <c r="J24" s="54"/>
    </row>
    <row r="25" spans="1:56" ht="15.75" customHeight="1"/>
    <row r="26" spans="1:56" ht="15.75" customHeight="1">
      <c r="I26" s="54"/>
      <c r="J26" s="54"/>
    </row>
    <row r="27" spans="1:56" ht="15.75" customHeight="1">
      <c r="I27" s="54"/>
      <c r="J27" s="54"/>
    </row>
    <row r="28" spans="1:56" ht="15.75" customHeight="1"/>
    <row r="29" spans="1:56" ht="15.75" customHeight="1"/>
    <row r="30" spans="1:56" ht="15.75" customHeight="1"/>
    <row r="31" spans="1:56" ht="15.75" customHeight="1"/>
    <row r="32" spans="1:5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3">
    <mergeCell ref="C11:D11"/>
    <mergeCell ref="C2:D2"/>
    <mergeCell ref="C3:D3"/>
  </mergeCells>
  <pageMargins left="0.70866141732283472" right="0.70866141732283472" top="0.74803149606299213" bottom="0.74803149606299213" header="0" footer="0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56DC63-7A14-493E-ADB5-2021CD4E244C}"/>
</file>

<file path=customXml/itemProps2.xml><?xml version="1.0" encoding="utf-8"?>
<ds:datastoreItem xmlns:ds="http://schemas.openxmlformats.org/officeDocument/2006/customXml" ds:itemID="{257EB065-20E1-47B9-AFF6-79A7D91EAA32}"/>
</file>

<file path=customXml/itemProps3.xml><?xml version="1.0" encoding="utf-8"?>
<ds:datastoreItem xmlns:ds="http://schemas.openxmlformats.org/officeDocument/2006/customXml" ds:itemID="{04087C3B-3125-45A6-99F2-5C1F4E10C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Mounir MAJID</dc:creator>
  <cp:keywords/>
  <dc:description/>
  <cp:lastModifiedBy/>
  <cp:revision/>
  <dcterms:created xsi:type="dcterms:W3CDTF">2026-02-23T12:11:45Z</dcterms:created>
  <dcterms:modified xsi:type="dcterms:W3CDTF">2026-07-02T09:03:13Z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